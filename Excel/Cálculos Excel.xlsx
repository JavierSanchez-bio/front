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JavierSánchezdelRío\Downloads\"/>
    </mc:Choice>
  </mc:AlternateContent>
  <xr:revisionPtr revIDLastSave="0" documentId="13_ncr:1_{0DD900CD-098E-4046-B7DC-DAA9F1D29681}" xr6:coauthVersionLast="47" xr6:coauthVersionMax="47" xr10:uidLastSave="{00000000-0000-0000-0000-000000000000}"/>
  <bookViews>
    <workbookView xWindow="-108" yWindow="-108" windowWidth="23256" windowHeight="12576" xr2:uid="{00000000-000D-0000-FFFF-FFFF00000000}"/>
  </bookViews>
  <sheets>
    <sheet name="Sheet1" sheetId="1" r:id="rId1"/>
  </sheets>
  <definedNames>
    <definedName name="solver_adj" localSheetId="0" hidden="1">Sheet1!$F$88</definedName>
    <definedName name="solver_cvg" localSheetId="0" hidden="1">0.0001</definedName>
    <definedName name="solver_drv" localSheetId="0" hidden="1">1</definedName>
    <definedName name="solver_eng" localSheetId="0" hidden="1">1</definedName>
    <definedName name="solver_est" localSheetId="0" hidden="1">1</definedName>
    <definedName name="solver_itr" localSheetId="0" hidden="1">2147483647</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nwt" localSheetId="0" hidden="1">1</definedName>
    <definedName name="solver_opt" localSheetId="0" hidden="1">Sheet1!$I$91</definedName>
    <definedName name="solver_pre" localSheetId="0" hidden="1">0.000001</definedName>
    <definedName name="solver_rbv" localSheetId="0" hidden="1">1</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3</definedName>
    <definedName name="solver_val" localSheetId="0" hidden="1">0</definedName>
    <definedName name="solver_ver" localSheetId="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9" i="1" l="1"/>
  <c r="N15" i="1"/>
  <c r="H38" i="1"/>
  <c r="L86" i="1"/>
  <c r="I68" i="1"/>
  <c r="J68" i="1" s="1"/>
  <c r="E71" i="1"/>
  <c r="F71" i="1" s="1"/>
  <c r="E69" i="1"/>
  <c r="F69" i="1" s="1"/>
  <c r="E70" i="1"/>
  <c r="F70" i="1" s="1"/>
  <c r="E68" i="1"/>
  <c r="F68" i="1" s="1"/>
  <c r="B56" i="1"/>
  <c r="B54" i="1"/>
  <c r="Q14" i="1"/>
  <c r="B21" i="1"/>
  <c r="B19" i="1"/>
  <c r="E8" i="1"/>
  <c r="E6" i="1"/>
  <c r="Q2" i="1"/>
  <c r="D9" i="1" s="1"/>
  <c r="B9" i="1"/>
  <c r="E9" i="1" s="1"/>
  <c r="B7" i="1"/>
  <c r="E7" i="1" s="1"/>
  <c r="H75" i="1" l="1"/>
  <c r="I75" i="1" s="1"/>
  <c r="H84" i="1"/>
  <c r="I84" i="1" s="1"/>
  <c r="I69" i="1"/>
  <c r="I71" i="1"/>
  <c r="J71" i="1" s="1"/>
  <c r="I70" i="1"/>
  <c r="J70" i="1" s="1"/>
  <c r="E75" i="1"/>
  <c r="F75" i="1" s="1"/>
  <c r="E76" i="1"/>
  <c r="F76" i="1" s="1"/>
  <c r="E78" i="1"/>
  <c r="F78" i="1" s="1"/>
  <c r="E77" i="1"/>
  <c r="F77" i="1" s="1"/>
  <c r="C53" i="1"/>
  <c r="C54" i="1"/>
  <c r="C55" i="1"/>
  <c r="C56" i="1"/>
  <c r="C18" i="1"/>
  <c r="E18" i="1" s="1"/>
  <c r="C19" i="1"/>
  <c r="F19" i="1" s="1"/>
  <c r="C21" i="1"/>
  <c r="F21" i="1" s="1"/>
  <c r="C20" i="1"/>
  <c r="E20" i="1" s="1"/>
  <c r="D6" i="1"/>
  <c r="G6" i="1" s="1"/>
  <c r="D8" i="1"/>
  <c r="G8" i="1" s="1"/>
  <c r="D7" i="1"/>
  <c r="G7" i="1" s="1"/>
  <c r="G9" i="1"/>
  <c r="F20" i="1" l="1"/>
  <c r="F18" i="1"/>
  <c r="H77" i="1"/>
  <c r="I77" i="1" s="1"/>
  <c r="H86" i="1"/>
  <c r="I86" i="1" s="1"/>
  <c r="H78" i="1"/>
  <c r="I78" i="1" s="1"/>
  <c r="H87" i="1"/>
  <c r="I87" i="1" s="1"/>
  <c r="H76" i="1"/>
  <c r="I76" i="1" s="1"/>
  <c r="I80" i="1" s="1"/>
  <c r="H85" i="1"/>
  <c r="I85" i="1" s="1"/>
  <c r="F80" i="1"/>
  <c r="E19" i="1"/>
  <c r="E21" i="1"/>
  <c r="F23" i="1"/>
  <c r="J8" i="1"/>
  <c r="F49" i="1" s="1"/>
  <c r="I89" i="1" l="1"/>
  <c r="I91" i="1" s="1"/>
  <c r="K77" i="1"/>
  <c r="E23" i="1"/>
  <c r="E25" i="1" s="1"/>
  <c r="E27" i="1" s="1"/>
  <c r="H18" i="1" l="1"/>
  <c r="H20" i="1"/>
  <c r="I20" i="1"/>
  <c r="I21" i="1"/>
  <c r="H21" i="1"/>
  <c r="I18" i="1"/>
  <c r="I19" i="1"/>
  <c r="H19" i="1"/>
  <c r="I23" i="1" l="1"/>
  <c r="H23" i="1"/>
  <c r="H25" i="1" s="1"/>
  <c r="H27" i="1" s="1"/>
  <c r="F31" i="1" s="1"/>
  <c r="F34" i="1"/>
  <c r="F33" i="1"/>
  <c r="E34" i="1"/>
  <c r="E33" i="1"/>
  <c r="F32" i="1"/>
  <c r="E32" i="1"/>
  <c r="E31" i="1"/>
  <c r="E36" i="1" l="1"/>
  <c r="E38" i="1" s="1"/>
  <c r="F36" i="1"/>
  <c r="E40" i="1" l="1"/>
  <c r="H34" i="1" l="1"/>
  <c r="H32" i="1"/>
  <c r="I32" i="1"/>
  <c r="I34" i="1"/>
  <c r="H33" i="1"/>
  <c r="I31" i="1"/>
  <c r="I33" i="1"/>
  <c r="H31" i="1"/>
  <c r="H36" i="1" l="1"/>
  <c r="I36" i="1"/>
  <c r="H40" i="1" s="1"/>
  <c r="L22" i="1" s="1"/>
  <c r="C49" i="1" s="1"/>
  <c r="K56" i="1" l="1"/>
  <c r="K54" i="1"/>
  <c r="K53" i="1"/>
  <c r="K55" i="1"/>
  <c r="E55" i="1"/>
  <c r="E54" i="1"/>
  <c r="E53" i="1"/>
  <c r="E56" i="1"/>
  <c r="K58" i="1" l="1"/>
  <c r="M55" i="1" s="1"/>
  <c r="E58" i="1"/>
  <c r="H5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tc={BF5A74CE-68BF-4FA4-BA06-978DCC1F660A}</author>
  </authors>
  <commentList>
    <comment ref="E68" authorId="0" shapeId="0" xr:uid="{BF5A74CE-68BF-4FA4-BA06-978DCC1F660A}">
      <text>
        <t>[Threaded comment]
Your version of Excel allows you to read this threaded comment; however, any edits to it will get removed if the file is opened in a newer version of Excel. Learn more: https://go.microsoft.com/fwlink/?linkid=870924
Comment:
    Aquí hay que usar Actual /360 o no?</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valueMetadata count="5">
    <bk>
      <rc t="1" v="0"/>
    </bk>
    <bk>
      <rc t="1" v="1"/>
    </bk>
    <bk>
      <rc t="1" v="2"/>
    </bk>
    <bk>
      <rc t="1" v="3"/>
    </bk>
    <bk>
      <rc t="1" v="4"/>
    </bk>
  </valueMetadata>
</metadata>
</file>

<file path=xl/sharedStrings.xml><?xml version="1.0" encoding="utf-8"?>
<sst xmlns="http://schemas.openxmlformats.org/spreadsheetml/2006/main" count="86" uniqueCount="69">
  <si>
    <t>Ejercicio 1:</t>
  </si>
  <si>
    <t>Maturity (años)</t>
  </si>
  <si>
    <t>Supongamos un bono a dos años con un pricipal de 100€ que paga cupones de un 6 % anual, con frecuencia semi-anual.</t>
  </si>
  <si>
    <t>T (años)</t>
  </si>
  <si>
    <t>Nominal</t>
  </si>
  <si>
    <t>Cupón (anual)</t>
  </si>
  <si>
    <t>Cupón (semi-anual)</t>
  </si>
  <si>
    <t>Flujo</t>
  </si>
  <si>
    <t>Factor de Descuento ()</t>
  </si>
  <si>
    <t>Valor presente</t>
  </si>
  <si>
    <t>Total (sumatorio) de todos los flujos de caja</t>
  </si>
  <si>
    <t>Ejercicio 2:</t>
  </si>
  <si>
    <t>Cálculo de la TIR por Newton-Raphson</t>
  </si>
  <si>
    <t>TIR semilla</t>
  </si>
  <si>
    <t>Precio objetivo</t>
  </si>
  <si>
    <t>Predicción 1</t>
  </si>
  <si>
    <t>Error</t>
  </si>
  <si>
    <t>Nueva TIR</t>
  </si>
  <si>
    <t>Precio estimado</t>
  </si>
  <si>
    <t>Derivada</t>
  </si>
  <si>
    <t>Maximo error:</t>
  </si>
  <si>
    <t>Predicción 2</t>
  </si>
  <si>
    <t>Predicción 3</t>
  </si>
  <si>
    <t>Predicción 4</t>
  </si>
  <si>
    <t>TIR final obtenida por Netwon-Raphson</t>
  </si>
  <si>
    <t>Duración</t>
  </si>
  <si>
    <t>Maturity (años) - r</t>
  </si>
  <si>
    <t>Tipos zero cupon ( %) - r</t>
  </si>
  <si>
    <t>Ejercicio 3:</t>
  </si>
  <si>
    <t>Duración de un bono</t>
  </si>
  <si>
    <t>TIR</t>
  </si>
  <si>
    <t>Precio del bono</t>
  </si>
  <si>
    <t>Sumatorio:</t>
  </si>
  <si>
    <t>años</t>
  </si>
  <si>
    <t>Ejercicio 4:</t>
  </si>
  <si>
    <t>Duraciónde Macaulay del bono:</t>
  </si>
  <si>
    <t>DURACIÓN:</t>
  </si>
  <si>
    <t>CONVEXIDAD:</t>
  </si>
  <si>
    <t>Convexidad</t>
  </si>
  <si>
    <t>Convexidad del bono:</t>
  </si>
  <si>
    <t>Valoración de un Swap (IRS)</t>
  </si>
  <si>
    <t>Interés fijo semestral</t>
  </si>
  <si>
    <t>Inicio</t>
  </si>
  <si>
    <t>Convención</t>
  </si>
  <si>
    <t>ACT/360</t>
  </si>
  <si>
    <t>Euribor Inicial</t>
  </si>
  <si>
    <t xml:space="preserve">Cupones cero </t>
  </si>
  <si>
    <t>Date</t>
  </si>
  <si>
    <t>ZC rate</t>
  </si>
  <si>
    <t>Factores de descuento</t>
  </si>
  <si>
    <t>Fracción de año</t>
  </si>
  <si>
    <t>(actual/360)</t>
  </si>
  <si>
    <t>Pata fija</t>
  </si>
  <si>
    <t>Pata flotante</t>
  </si>
  <si>
    <t>Valor Presente</t>
  </si>
  <si>
    <t>Tipo forward</t>
  </si>
  <si>
    <t>(dato inicial)</t>
  </si>
  <si>
    <t>Estimación EURIBOR</t>
  </si>
  <si>
    <t>Valoración Final del Swap:
Valor pata flotante - Valor pata fija</t>
  </si>
  <si>
    <t>El swap está in the money</t>
  </si>
  <si>
    <t>Si quisiéramos que el swap tenga PV = 0, tenemos que introducir el factor spread</t>
  </si>
  <si>
    <t>Spread</t>
  </si>
  <si>
    <t>PV:</t>
  </si>
  <si>
    <t>Para calcularlo hemos usado la función de Excel de Datos --&gt; Análisis de Hipótesis --&gt; Buscar Objetivo</t>
  </si>
  <si>
    <t>Spread necesario para tener un swap con PV=0 :</t>
  </si>
  <si>
    <r>
      <rPr>
        <b/>
        <u/>
        <sz val="12"/>
        <color theme="1"/>
        <rFont val="Times New Roman"/>
        <family val="1"/>
      </rPr>
      <t>Comentario:</t>
    </r>
    <r>
      <rPr>
        <sz val="12"/>
        <color theme="1"/>
        <rFont val="Times New Roman"/>
        <family val="1"/>
      </rPr>
      <t xml:space="preserve">
Aplicando Newton-Raphson en el bono que acabamos de calcular con un TIR semilla igual a la usada en la guía (5%), llegamos en 4 iteraciones a un valor de TIR que se encuentra dentro de la tolerancia solicitada (marcada en verde)
El valor difiere ligeramente del obtenido en la guía pero consideramos que, al estar dentro de la tolerancia, es un valor válido</t>
    </r>
  </si>
  <si>
    <r>
      <rPr>
        <b/>
        <u/>
        <sz val="12"/>
        <color theme="1"/>
        <rFont val="Times New Roman"/>
        <family val="1"/>
      </rPr>
      <t>Comentario:</t>
    </r>
    <r>
      <rPr>
        <sz val="12"/>
        <color theme="1"/>
        <rFont val="Times New Roman"/>
        <family val="1"/>
      </rPr>
      <t xml:space="preserve">
De acuerdo con las expansiones realizadas en la guía, podemos calcular la duración y convexidad del bono (basadas en la expansión de una serie de Taylor)
</t>
    </r>
  </si>
  <si>
    <r>
      <rPr>
        <b/>
        <u/>
        <sz val="12"/>
        <color theme="1"/>
        <rFont val="Times New Roman"/>
        <family val="1"/>
      </rPr>
      <t>Comentario:</t>
    </r>
    <r>
      <rPr>
        <sz val="12"/>
        <color theme="1"/>
        <rFont val="Times New Roman"/>
        <family val="1"/>
      </rPr>
      <t xml:space="preserve">
Por último, hemos podido realizar la valoración del Swap presntado en el ejemplo de la guía calculando por un lado la valoración de las patas fijas traidas a su valor presente y; por otro lado, hemos podido estimar usando los tipos Forward los distintos Euribor 6M para cada periodo de intercambio de flujos.
Con los valores cero cupón por un lado y los EURIBOR estimados, podemos calcular el valor presente de cada lado del swap y ver cuál es el valor neto del Swap. En este caso estaría valorado por encima de 0, por lo que tiene un valor intrínseco.
Esto no es lo que se busca en el momento de su creación, por lo que se debe incluir un spread para que su valor presente sea 0€. Hemos estimado este spread en aproximadamente 0.261% y es el valor que hace que el precio del swap sea 0€ en el momento de su creación
</t>
    </r>
  </si>
  <si>
    <r>
      <rPr>
        <b/>
        <u/>
        <sz val="12"/>
        <color theme="1"/>
        <rFont val="Times New Roman"/>
        <family val="1"/>
      </rPr>
      <t>Comentario:</t>
    </r>
    <r>
      <rPr>
        <sz val="12"/>
        <color theme="1"/>
        <rFont val="Times New Roman"/>
        <family val="1"/>
      </rPr>
      <t xml:space="preserve">
Se proyectan los flujos de caja de cada periodo de 6 meses siguiendo los valores cupón 0 que se nos proporcionan.
Sumando el valor presente de cada flujo de caja obtenemos el valor presente del bono con dichas características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</si>
</sst>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0.00\ &quot;€&quot;_-;\-* #,##0.00\ &quot;€&quot;_-;_-* &quot;-&quot;??\ &quot;€&quot;_-;_-@_-"/>
    <numFmt numFmtId="164" formatCode="0.0000000000000%"/>
    <numFmt numFmtId="165" formatCode="0.000"/>
    <numFmt numFmtId="166" formatCode="0.000%"/>
  </numFmts>
  <fonts count="7">
    <font>
      <sz val="11"/>
      <color theme="1"/>
      <name val="Calibri"/>
      <family val="2"/>
      <scheme val="minor"/>
    </font>
    <font>
      <sz val="11"/>
      <color theme="1"/>
      <name val="Calibri"/>
      <family val="2"/>
      <scheme val="minor"/>
    </font>
    <font>
      <sz val="12"/>
      <color theme="1"/>
      <name val="Times New Roman"/>
      <family val="1"/>
    </font>
    <font>
      <b/>
      <sz val="12"/>
      <color theme="1"/>
      <name val="Times New Roman"/>
      <family val="1"/>
    </font>
    <font>
      <sz val="8"/>
      <name val="Calibri"/>
      <family val="2"/>
      <scheme val="minor"/>
    </font>
    <font>
      <sz val="10"/>
      <color theme="1"/>
      <name val="Times New Roman"/>
      <family val="1"/>
    </font>
    <font>
      <b/>
      <u/>
      <sz val="12"/>
      <color theme="1"/>
      <name val="Times New Roman"/>
      <family val="1"/>
    </font>
  </fonts>
  <fills count="5">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9" tint="-0.499984740745262"/>
        <bgColor indexed="64"/>
      </patternFill>
    </fill>
  </fills>
  <borders count="4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58">
    <xf numFmtId="0" fontId="0" fillId="0" borderId="0" xfId="0"/>
    <xf numFmtId="0" fontId="2" fillId="0" borderId="0" xfId="0" applyFont="1"/>
    <xf numFmtId="44" fontId="2" fillId="0" borderId="0" xfId="1" applyFont="1"/>
    <xf numFmtId="44" fontId="2" fillId="0" borderId="0" xfId="0" applyNumberFormat="1" applyFont="1"/>
    <xf numFmtId="0" fontId="2" fillId="0" borderId="0" xfId="0" applyFont="1" applyAlignment="1">
      <alignment wrapText="1"/>
    </xf>
    <xf numFmtId="0" fontId="2" fillId="3" borderId="2" xfId="0" applyFont="1" applyFill="1" applyBorder="1"/>
    <xf numFmtId="0" fontId="2" fillId="3" borderId="4" xfId="0" applyFont="1" applyFill="1" applyBorder="1"/>
    <xf numFmtId="0" fontId="2" fillId="3" borderId="5" xfId="0" applyFont="1" applyFill="1" applyBorder="1"/>
    <xf numFmtId="44" fontId="2" fillId="3" borderId="6" xfId="0" applyNumberFormat="1" applyFont="1" applyFill="1" applyBorder="1"/>
    <xf numFmtId="10" fontId="2" fillId="0" borderId="9" xfId="2" applyNumberFormat="1" applyFont="1" applyBorder="1"/>
    <xf numFmtId="44" fontId="2" fillId="0" borderId="9" xfId="0" applyNumberFormat="1" applyFont="1" applyBorder="1"/>
    <xf numFmtId="0" fontId="2" fillId="0" borderId="10" xfId="0" applyFont="1" applyBorder="1"/>
    <xf numFmtId="44" fontId="2" fillId="0" borderId="11" xfId="0" applyNumberFormat="1" applyFont="1" applyBorder="1"/>
    <xf numFmtId="0" fontId="2" fillId="0" borderId="12" xfId="0" applyFont="1" applyBorder="1"/>
    <xf numFmtId="10" fontId="2" fillId="0" borderId="13" xfId="2" applyNumberFormat="1" applyFont="1" applyBorder="1"/>
    <xf numFmtId="44" fontId="2" fillId="0" borderId="13" xfId="0" applyNumberFormat="1" applyFont="1" applyBorder="1"/>
    <xf numFmtId="44" fontId="2" fillId="0" borderId="14" xfId="0" applyNumberFormat="1" applyFont="1" applyBorder="1"/>
    <xf numFmtId="0" fontId="2" fillId="0" borderId="15" xfId="0" applyFont="1" applyBorder="1"/>
    <xf numFmtId="10" fontId="2" fillId="0" borderId="16" xfId="2" applyNumberFormat="1" applyFont="1" applyBorder="1"/>
    <xf numFmtId="44" fontId="2" fillId="0" borderId="16" xfId="0" applyNumberFormat="1" applyFont="1" applyBorder="1"/>
    <xf numFmtId="44" fontId="2" fillId="0" borderId="17" xfId="0" applyNumberFormat="1" applyFont="1" applyBorder="1"/>
    <xf numFmtId="0" fontId="2" fillId="2" borderId="18"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4" borderId="0" xfId="0" applyFont="1" applyFill="1"/>
    <xf numFmtId="0" fontId="2" fillId="2" borderId="4" xfId="0" applyFont="1" applyFill="1" applyBorder="1"/>
    <xf numFmtId="44" fontId="2" fillId="2" borderId="6" xfId="0" applyNumberFormat="1" applyFont="1" applyFill="1" applyBorder="1"/>
    <xf numFmtId="44" fontId="2" fillId="3" borderId="21" xfId="1" applyFont="1" applyFill="1" applyBorder="1"/>
    <xf numFmtId="0" fontId="2" fillId="3" borderId="22" xfId="0" applyFont="1" applyFill="1" applyBorder="1"/>
    <xf numFmtId="0" fontId="2" fillId="3" borderId="23" xfId="0" applyFont="1" applyFill="1" applyBorder="1"/>
    <xf numFmtId="9" fontId="2" fillId="3" borderId="24" xfId="2" applyFont="1" applyFill="1" applyBorder="1"/>
    <xf numFmtId="0" fontId="2" fillId="3" borderId="25" xfId="0" applyFont="1" applyFill="1" applyBorder="1"/>
    <xf numFmtId="0" fontId="2" fillId="3" borderId="26" xfId="0" applyFont="1" applyFill="1" applyBorder="1"/>
    <xf numFmtId="0" fontId="2" fillId="2" borderId="22" xfId="0" applyFont="1" applyFill="1" applyBorder="1"/>
    <xf numFmtId="10" fontId="2" fillId="2" borderId="24" xfId="2" applyNumberFormat="1" applyFont="1" applyFill="1" applyBorder="1"/>
    <xf numFmtId="0" fontId="2" fillId="0" borderId="27" xfId="0" applyFont="1" applyBorder="1" applyAlignment="1">
      <alignment horizontal="center" vertical="center"/>
    </xf>
    <xf numFmtId="0" fontId="2" fillId="0" borderId="28" xfId="0" applyFont="1" applyBorder="1" applyAlignment="1">
      <alignment horizontal="center" vertical="center"/>
    </xf>
    <xf numFmtId="0" fontId="2" fillId="0" borderId="29" xfId="0" applyFont="1" applyBorder="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wrapText="1"/>
    </xf>
    <xf numFmtId="44" fontId="2" fillId="0" borderId="29" xfId="0" applyNumberFormat="1" applyFont="1" applyBorder="1" applyAlignment="1">
      <alignment horizontal="center" vertical="center"/>
    </xf>
    <xf numFmtId="44" fontId="2" fillId="0" borderId="18" xfId="0" applyNumberFormat="1" applyFont="1" applyBorder="1"/>
    <xf numFmtId="0" fontId="2" fillId="2" borderId="24" xfId="2" applyNumberFormat="1" applyFont="1" applyFill="1" applyBorder="1"/>
    <xf numFmtId="44" fontId="2" fillId="0" borderId="27" xfId="1" applyFont="1" applyBorder="1" applyAlignment="1">
      <alignment horizontal="center" vertical="center"/>
    </xf>
    <xf numFmtId="44" fontId="2" fillId="0" borderId="28" xfId="1" applyFont="1" applyBorder="1" applyAlignment="1">
      <alignment horizontal="center" vertical="center"/>
    </xf>
    <xf numFmtId="44" fontId="2" fillId="0" borderId="29" xfId="1" applyFont="1" applyBorder="1" applyAlignment="1">
      <alignment horizontal="center" vertical="center"/>
    </xf>
    <xf numFmtId="2" fontId="2" fillId="0" borderId="27" xfId="0" applyNumberFormat="1" applyFont="1" applyBorder="1" applyAlignment="1">
      <alignment horizontal="center" vertical="center"/>
    </xf>
    <xf numFmtId="2" fontId="2" fillId="0" borderId="28" xfId="0" applyNumberFormat="1" applyFont="1" applyBorder="1" applyAlignment="1">
      <alignment horizontal="center" vertical="center"/>
    </xf>
    <xf numFmtId="2" fontId="2" fillId="0" borderId="29" xfId="0" applyNumberFormat="1" applyFont="1" applyBorder="1" applyAlignment="1">
      <alignment horizontal="center" vertical="center"/>
    </xf>
    <xf numFmtId="0" fontId="2" fillId="0" borderId="8" xfId="1" applyNumberFormat="1" applyFont="1" applyBorder="1"/>
    <xf numFmtId="0" fontId="3" fillId="0" borderId="4" xfId="0" applyFont="1" applyBorder="1"/>
    <xf numFmtId="44" fontId="3" fillId="0" borderId="5" xfId="1" applyFont="1" applyBorder="1"/>
    <xf numFmtId="0" fontId="3" fillId="0" borderId="6" xfId="0" applyFont="1" applyBorder="1"/>
    <xf numFmtId="10" fontId="3" fillId="0" borderId="5" xfId="1" applyNumberFormat="1" applyFont="1" applyBorder="1"/>
    <xf numFmtId="0" fontId="2" fillId="0" borderId="7" xfId="0" applyFont="1" applyBorder="1" applyAlignment="1">
      <alignment vertical="center"/>
    </xf>
    <xf numFmtId="10" fontId="2" fillId="0" borderId="8" xfId="0" applyNumberFormat="1" applyFont="1" applyBorder="1" applyAlignment="1">
      <alignment vertical="center"/>
    </xf>
    <xf numFmtId="44" fontId="2" fillId="0" borderId="8" xfId="0" applyNumberFormat="1" applyFont="1" applyBorder="1" applyAlignment="1">
      <alignment vertical="center"/>
    </xf>
    <xf numFmtId="0" fontId="2" fillId="0" borderId="27" xfId="1" applyNumberFormat="1" applyFont="1" applyBorder="1" applyAlignment="1">
      <alignment horizontal="center" vertical="center"/>
    </xf>
    <xf numFmtId="0" fontId="2" fillId="0" borderId="28" xfId="1" applyNumberFormat="1" applyFont="1" applyBorder="1" applyAlignment="1">
      <alignment horizontal="center" vertical="center"/>
    </xf>
    <xf numFmtId="0" fontId="2" fillId="0" borderId="7" xfId="0" applyFont="1" applyBorder="1"/>
    <xf numFmtId="0" fontId="2" fillId="0" borderId="8" xfId="0" applyFont="1" applyBorder="1"/>
    <xf numFmtId="165" fontId="3" fillId="0" borderId="5" xfId="1" applyNumberFormat="1" applyFont="1" applyBorder="1"/>
    <xf numFmtId="0" fontId="3" fillId="0" borderId="30" xfId="0" applyFont="1" applyBorder="1" applyAlignment="1">
      <alignment horizontal="center" vertical="center"/>
    </xf>
    <xf numFmtId="0" fontId="3" fillId="0" borderId="8" xfId="0" applyFont="1" applyBorder="1" applyAlignment="1">
      <alignment horizontal="center"/>
    </xf>
    <xf numFmtId="0" fontId="2" fillId="0" borderId="5" xfId="0" applyFont="1" applyBorder="1"/>
    <xf numFmtId="0" fontId="2" fillId="0" borderId="21" xfId="0" applyFont="1" applyBorder="1"/>
    <xf numFmtId="14" fontId="2" fillId="0" borderId="23" xfId="0" applyNumberFormat="1" applyFont="1" applyBorder="1"/>
    <xf numFmtId="0" fontId="2" fillId="0" borderId="32" xfId="0" applyFont="1" applyBorder="1"/>
    <xf numFmtId="0" fontId="3" fillId="0" borderId="22" xfId="0" applyFont="1" applyBorder="1"/>
    <xf numFmtId="0" fontId="3" fillId="0" borderId="32" xfId="0" applyFont="1" applyBorder="1"/>
    <xf numFmtId="0" fontId="3" fillId="0" borderId="5" xfId="0" applyFont="1" applyBorder="1"/>
    <xf numFmtId="10" fontId="2" fillId="0" borderId="24" xfId="2" applyNumberFormat="1" applyFont="1" applyBorder="1"/>
    <xf numFmtId="0" fontId="3" fillId="0" borderId="33" xfId="0" applyFont="1" applyBorder="1"/>
    <xf numFmtId="0" fontId="2" fillId="0" borderId="34" xfId="0" applyFont="1" applyBorder="1"/>
    <xf numFmtId="0" fontId="2" fillId="0" borderId="35" xfId="0" applyFont="1" applyBorder="1"/>
    <xf numFmtId="0" fontId="3" fillId="0" borderId="35" xfId="0" applyFont="1" applyBorder="1"/>
    <xf numFmtId="44" fontId="2" fillId="0" borderId="36" xfId="1" applyFont="1" applyBorder="1"/>
    <xf numFmtId="10" fontId="2" fillId="0" borderId="6" xfId="2" applyNumberFormat="1" applyFont="1" applyBorder="1"/>
    <xf numFmtId="10" fontId="2" fillId="0" borderId="38" xfId="2" applyNumberFormat="1" applyFont="1" applyBorder="1"/>
    <xf numFmtId="0" fontId="3" fillId="0" borderId="7" xfId="0" applyFont="1" applyBorder="1" applyAlignment="1">
      <alignment horizontal="center" vertical="center"/>
    </xf>
    <xf numFmtId="0" fontId="3" fillId="0" borderId="8" xfId="0" applyFont="1" applyBorder="1" applyAlignment="1">
      <alignment horizontal="center" vertical="center"/>
    </xf>
    <xf numFmtId="14" fontId="2" fillId="0" borderId="39" xfId="0" applyNumberFormat="1" applyFont="1" applyBorder="1"/>
    <xf numFmtId="14" fontId="2" fillId="0" borderId="40" xfId="0" applyNumberFormat="1" applyFont="1" applyBorder="1"/>
    <xf numFmtId="14" fontId="2" fillId="0" borderId="41" xfId="0" applyNumberFormat="1" applyFont="1" applyBorder="1"/>
    <xf numFmtId="165" fontId="2" fillId="0" borderId="1" xfId="0" applyNumberFormat="1" applyFont="1" applyBorder="1" applyAlignment="1">
      <alignment horizontal="center"/>
    </xf>
    <xf numFmtId="165" fontId="2" fillId="0" borderId="37" xfId="0" applyNumberFormat="1" applyFont="1" applyBorder="1" applyAlignment="1">
      <alignment horizontal="center"/>
    </xf>
    <xf numFmtId="165" fontId="2" fillId="0" borderId="4" xfId="0" applyNumberFormat="1" applyFont="1" applyBorder="1" applyAlignment="1">
      <alignment horizontal="center"/>
    </xf>
    <xf numFmtId="0" fontId="5" fillId="0" borderId="0" xfId="0" applyFont="1" applyAlignment="1">
      <alignment horizontal="center"/>
    </xf>
    <xf numFmtId="44" fontId="2" fillId="0" borderId="38" xfId="0" applyNumberFormat="1" applyFont="1" applyBorder="1"/>
    <xf numFmtId="44" fontId="2" fillId="0" borderId="6" xfId="0" applyNumberFormat="1" applyFont="1" applyBorder="1"/>
    <xf numFmtId="0" fontId="3" fillId="0" borderId="18" xfId="0" applyFont="1" applyBorder="1" applyAlignment="1">
      <alignment horizontal="center"/>
    </xf>
    <xf numFmtId="44" fontId="2" fillId="0" borderId="40" xfId="0" applyNumberFormat="1" applyFont="1" applyBorder="1"/>
    <xf numFmtId="44" fontId="2" fillId="0" borderId="41" xfId="0" applyNumberFormat="1" applyFont="1" applyBorder="1"/>
    <xf numFmtId="44" fontId="2" fillId="0" borderId="8" xfId="0" applyNumberFormat="1" applyFont="1" applyBorder="1"/>
    <xf numFmtId="44" fontId="3" fillId="0" borderId="7" xfId="0" applyNumberFormat="1" applyFont="1" applyBorder="1" applyAlignment="1">
      <alignment horizontal="center" vertical="center"/>
    </xf>
    <xf numFmtId="10" fontId="2" fillId="0" borderId="42" xfId="2" applyNumberFormat="1" applyFont="1" applyBorder="1" applyAlignment="1">
      <alignment horizontal="center"/>
    </xf>
    <xf numFmtId="10" fontId="2" fillId="0" borderId="43" xfId="2" applyNumberFormat="1" applyFont="1" applyBorder="1" applyAlignment="1">
      <alignment horizontal="center"/>
    </xf>
    <xf numFmtId="10" fontId="2" fillId="0" borderId="44" xfId="2" applyNumberFormat="1" applyFont="1" applyBorder="1" applyAlignment="1">
      <alignment horizontal="center"/>
    </xf>
    <xf numFmtId="0" fontId="5" fillId="0" borderId="0" xfId="0" applyFont="1" applyAlignment="1">
      <alignment horizontal="center" vertical="center"/>
    </xf>
    <xf numFmtId="0" fontId="3" fillId="0" borderId="30" xfId="0" applyFont="1" applyBorder="1" applyAlignment="1">
      <alignment horizontal="center" vertical="center" wrapText="1"/>
    </xf>
    <xf numFmtId="44" fontId="3" fillId="0" borderId="8" xfId="1" applyFont="1" applyBorder="1" applyAlignment="1"/>
    <xf numFmtId="166" fontId="2" fillId="0" borderId="8" xfId="2" applyNumberFormat="1" applyFont="1" applyBorder="1"/>
    <xf numFmtId="166" fontId="3" fillId="0" borderId="7" xfId="1" applyNumberFormat="1" applyFont="1" applyBorder="1" applyAlignment="1"/>
    <xf numFmtId="166" fontId="3" fillId="0" borderId="31" xfId="1" applyNumberFormat="1" applyFont="1" applyBorder="1" applyAlignment="1"/>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0" xfId="0" applyFont="1" applyAlignment="1">
      <alignment horizontal="center" vertical="center" wrapText="1"/>
    </xf>
    <xf numFmtId="0" fontId="2" fillId="0" borderId="38"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2" xfId="0" applyFont="1" applyBorder="1" applyAlignment="1">
      <alignment horizontal="center"/>
    </xf>
    <xf numFmtId="0" fontId="2" fillId="0" borderId="0" xfId="0" applyFont="1" applyAlignment="1">
      <alignment horizont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44" fontId="3" fillId="0" borderId="7" xfId="1" applyFont="1" applyBorder="1" applyAlignment="1">
      <alignment horizontal="center"/>
    </xf>
    <xf numFmtId="44" fontId="3" fillId="0" borderId="31" xfId="1" applyFont="1" applyBorder="1" applyAlignment="1">
      <alignment horizontal="center"/>
    </xf>
    <xf numFmtId="165" fontId="2" fillId="0" borderId="37" xfId="0" applyNumberFormat="1" applyFont="1" applyBorder="1" applyAlignment="1">
      <alignment horizontal="center"/>
    </xf>
    <xf numFmtId="165" fontId="2" fillId="0" borderId="38" xfId="0" applyNumberFormat="1" applyFont="1" applyBorder="1" applyAlignment="1">
      <alignment horizontal="center"/>
    </xf>
    <xf numFmtId="165" fontId="2" fillId="0" borderId="4" xfId="0" applyNumberFormat="1" applyFont="1" applyBorder="1" applyAlignment="1">
      <alignment horizontal="center"/>
    </xf>
    <xf numFmtId="165" fontId="2" fillId="0" borderId="6" xfId="0" applyNumberFormat="1" applyFont="1" applyBorder="1" applyAlignment="1">
      <alignment horizontal="center"/>
    </xf>
    <xf numFmtId="0" fontId="3" fillId="0" borderId="0" xfId="0" applyFont="1" applyAlignment="1">
      <alignment horizont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165" fontId="2" fillId="0" borderId="1" xfId="0" applyNumberFormat="1" applyFont="1" applyBorder="1" applyAlignment="1">
      <alignment horizontal="center"/>
    </xf>
    <xf numFmtId="165" fontId="2" fillId="0" borderId="3" xfId="0" applyNumberFormat="1" applyFont="1" applyBorder="1" applyAlignment="1">
      <alignment horizontal="center"/>
    </xf>
    <xf numFmtId="0" fontId="3" fillId="2" borderId="1" xfId="0" applyFont="1" applyFill="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6" xfId="0" applyFont="1" applyFill="1" applyBorder="1" applyAlignment="1">
      <alignment horizontal="center"/>
    </xf>
    <xf numFmtId="0" fontId="2" fillId="0" borderId="0" xfId="0" applyFont="1" applyAlignment="1">
      <alignment horizontal="center"/>
    </xf>
    <xf numFmtId="0" fontId="3" fillId="0" borderId="7" xfId="0" applyFont="1" applyBorder="1" applyAlignment="1">
      <alignment horizontal="center"/>
    </xf>
    <xf numFmtId="0" fontId="3" fillId="0" borderId="31" xfId="0" applyFont="1" applyBorder="1" applyAlignment="1">
      <alignment horizontal="center"/>
    </xf>
    <xf numFmtId="0" fontId="3" fillId="0" borderId="8" xfId="0" applyFont="1" applyBorder="1" applyAlignment="1">
      <alignment horizontal="center"/>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0" fontId="3" fillId="2" borderId="3" xfId="0" applyFont="1" applyFill="1" applyBorder="1" applyAlignment="1">
      <alignment horizontal="center" wrapText="1"/>
    </xf>
    <xf numFmtId="0" fontId="3" fillId="2" borderId="4" xfId="0" applyFont="1" applyFill="1" applyBorder="1" applyAlignment="1">
      <alignment horizontal="center" wrapText="1"/>
    </xf>
    <xf numFmtId="0" fontId="3" fillId="2" borderId="5" xfId="0" applyFont="1" applyFill="1" applyBorder="1" applyAlignment="1">
      <alignment horizontal="center" wrapText="1"/>
    </xf>
    <xf numFmtId="0" fontId="3" fillId="2" borderId="6" xfId="0" applyFont="1" applyFill="1" applyBorder="1" applyAlignment="1">
      <alignment horizont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7" xfId="1" applyNumberFormat="1" applyFont="1" applyBorder="1" applyAlignment="1">
      <alignment horizontal="center" vertical="center"/>
    </xf>
    <xf numFmtId="0" fontId="2" fillId="0" borderId="8" xfId="1" applyNumberFormat="1" applyFont="1" applyBorder="1" applyAlignment="1">
      <alignment horizontal="center" vertical="center"/>
    </xf>
    <xf numFmtId="164" fontId="2" fillId="0" borderId="7" xfId="2" applyNumberFormat="1" applyFont="1" applyBorder="1" applyAlignment="1">
      <alignment horizontal="center" vertical="center"/>
    </xf>
    <xf numFmtId="164" fontId="2" fillId="0" borderId="8" xfId="2" applyNumberFormat="1" applyFont="1" applyBorder="1" applyAlignment="1">
      <alignment horizontal="center" vertical="center"/>
    </xf>
    <xf numFmtId="0" fontId="2" fillId="0" borderId="16" xfId="0" applyFont="1" applyBorder="1" applyAlignment="1">
      <alignment horizontal="center"/>
    </xf>
    <xf numFmtId="0" fontId="2" fillId="0" borderId="9" xfId="0" applyFont="1" applyBorder="1" applyAlignment="1">
      <alignment horizontal="center"/>
    </xf>
    <xf numFmtId="0" fontId="2" fillId="0" borderId="13" xfId="0" applyFont="1" applyBorder="1" applyAlignment="1">
      <alignment horizontal="center"/>
    </xf>
    <xf numFmtId="0" fontId="2" fillId="0" borderId="0" xfId="0" applyNumberFormat="1" applyFont="1"/>
  </cellXfs>
  <cellStyles count="3">
    <cellStyle name="Currency" xfId="1" builtinId="4"/>
    <cellStyle name="Normal" xfId="0" builtinId="0"/>
    <cellStyle name="Percent" xfId="2" builtinId="5"/>
  </cellStyles>
  <dxfs count="6">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alcChain" Target="calcChain.xml"/><Relationship Id="rId5" Type="http://schemas.openxmlformats.org/officeDocument/2006/relationships/sheetMetadata" Target="metadata.xml"/><Relationship Id="rId10" Type="http://schemas.microsoft.com/office/2017/10/relationships/person" Target="persons/person.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twoCellAnchor>
    <xdr:from>
      <xdr:col>11</xdr:col>
      <xdr:colOff>129540</xdr:colOff>
      <xdr:row>0</xdr:row>
      <xdr:rowOff>99060</xdr:rowOff>
    </xdr:from>
    <xdr:to>
      <xdr:col>11</xdr:col>
      <xdr:colOff>510540</xdr:colOff>
      <xdr:row>1</xdr:row>
      <xdr:rowOff>106680</xdr:rowOff>
    </xdr:to>
    <xdr:sp macro="" textlink="">
      <xdr:nvSpPr>
        <xdr:cNvPr id="3" name="Arrow: Right 2">
          <a:extLst>
            <a:ext uri="{FF2B5EF4-FFF2-40B4-BE49-F238E27FC236}">
              <a16:creationId xmlns:a16="http://schemas.microsoft.com/office/drawing/2014/main" id="{234C5FAF-220A-D011-77C6-FB1E70662D63}"/>
            </a:ext>
          </a:extLst>
        </xdr:cNvPr>
        <xdr:cNvSpPr/>
      </xdr:nvSpPr>
      <xdr:spPr>
        <a:xfrm>
          <a:off x="7741920" y="99060"/>
          <a:ext cx="381000" cy="205740"/>
        </a:xfrm>
        <a:prstGeom prst="rightArrow">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s-ES" sz="1100"/>
        </a:p>
      </xdr:txBody>
    </xdr:sp>
    <xdr:clientData/>
  </xdr:twoCellAnchor>
</xdr:wsDr>
</file>

<file path=xl/persons/person.xml><?xml version="1.0" encoding="utf-8"?>
<personList xmlns="http://schemas.microsoft.com/office/spreadsheetml/2018/threadedcomments" xmlns:x="http://schemas.openxmlformats.org/spreadsheetml/2006/main">
  <person displayName="Javier Sánchez del Río" id="{EB6E4CC2-66A9-4A65-8BB2-B0BC36A6F8B9}" userId="S::jsanchez@servexternos.cnmv.es::9b6585da-658d-4f12-9d59-089c3638094a" providerId="AD"/>
</personList>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rv>
  <rv s="0">
    <v>1</v>
    <v>5</v>
  </rv>
  <rv s="0">
    <v>2</v>
    <v>5</v>
  </rv>
  <rv s="0">
    <v>3</v>
    <v>5</v>
  </rv>
  <rv s="0">
    <v>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68" dT="2026-03-04T09:35:33.77" personId="{EB6E4CC2-66A9-4A65-8BB2-B0BC36A6F8B9}" id="{BF5A74CE-68BF-4FA4-BA06-978DCC1F660A}">
    <text>Aquí hay que usar Actual /360 o no?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3"/>
  <sheetViews>
    <sheetView showGridLines="0" tabSelected="1" topLeftCell="E18" zoomScaleNormal="100" workbookViewId="0">
      <selection activeCell="N79" sqref="N79"/>
    </sheetView>
  </sheetViews>
  <sheetFormatPr defaultColWidth="8.88671875" defaultRowHeight="15.6"/>
  <cols>
    <col min="1" max="1" width="8.88671875" style="1"/>
    <col min="2" max="2" width="13.33203125" style="1" customWidth="1"/>
    <col min="3" max="3" width="12.33203125" style="1" customWidth="1"/>
    <col min="4" max="4" width="12.109375" style="1" customWidth="1"/>
    <col min="5" max="5" width="18.88671875" style="1" customWidth="1"/>
    <col min="6" max="6" width="16.6640625" style="1" customWidth="1"/>
    <col min="7" max="7" width="10.88671875" style="1" customWidth="1"/>
    <col min="8" max="8" width="18.33203125" style="1" customWidth="1"/>
    <col min="9" max="9" width="18" style="1" customWidth="1"/>
    <col min="10" max="10" width="14.33203125" style="1" customWidth="1"/>
    <col min="11" max="11" width="16" style="1" customWidth="1"/>
    <col min="12" max="12" width="12" style="1" customWidth="1"/>
    <col min="13" max="13" width="14.88671875" style="1" customWidth="1"/>
    <col min="14" max="14" width="11.5546875" style="1" customWidth="1"/>
    <col min="15" max="15" width="3.33203125" style="1" customWidth="1"/>
    <col min="16" max="16" width="22" style="1" customWidth="1"/>
    <col min="17" max="17" width="18.88671875" style="1" bestFit="1" customWidth="1"/>
    <col min="18" max="16384" width="8.88671875" style="1"/>
  </cols>
  <sheetData>
    <row r="1" spans="1:21">
      <c r="A1" s="132" t="s">
        <v>0</v>
      </c>
      <c r="B1" s="133"/>
      <c r="C1" s="133"/>
      <c r="D1" s="133"/>
      <c r="E1" s="133"/>
      <c r="F1" s="133"/>
      <c r="G1" s="133"/>
      <c r="H1" s="133"/>
      <c r="I1" s="133"/>
      <c r="J1" s="133"/>
      <c r="K1" s="134"/>
      <c r="M1" s="28" t="s">
        <v>3</v>
      </c>
      <c r="N1" s="29">
        <v>2</v>
      </c>
      <c r="O1" s="5"/>
      <c r="P1" s="31" t="s">
        <v>5</v>
      </c>
      <c r="Q1" s="30">
        <v>0.06</v>
      </c>
    </row>
    <row r="2" spans="1:21" ht="16.2" thickBot="1">
      <c r="A2" s="135" t="s">
        <v>2</v>
      </c>
      <c r="B2" s="136"/>
      <c r="C2" s="136"/>
      <c r="D2" s="136"/>
      <c r="E2" s="136"/>
      <c r="F2" s="136"/>
      <c r="G2" s="136"/>
      <c r="H2" s="136"/>
      <c r="I2" s="136"/>
      <c r="J2" s="136"/>
      <c r="K2" s="137"/>
      <c r="M2" s="6" t="s">
        <v>4</v>
      </c>
      <c r="N2" s="27">
        <v>100</v>
      </c>
      <c r="O2" s="7"/>
      <c r="P2" s="32" t="s">
        <v>6</v>
      </c>
      <c r="Q2" s="8">
        <f>Q1*N2/2</f>
        <v>3</v>
      </c>
    </row>
    <row r="4" spans="1:21" ht="16.2" thickBot="1"/>
    <row r="5" spans="1:21" s="4" customFormat="1" ht="47.4" thickBot="1">
      <c r="B5" s="21" t="s">
        <v>26</v>
      </c>
      <c r="C5" s="22" t="s">
        <v>27</v>
      </c>
      <c r="D5" s="22" t="s">
        <v>7</v>
      </c>
      <c r="E5" s="22" t="s">
        <v>8</v>
      </c>
      <c r="F5" s="22" t="e" vm="1">
        <v>#VALUE!</v>
      </c>
      <c r="G5" s="23" t="s">
        <v>9</v>
      </c>
      <c r="M5" s="104" t="s">
        <v>68</v>
      </c>
      <c r="N5" s="105"/>
      <c r="O5" s="105"/>
      <c r="P5" s="105"/>
      <c r="Q5" s="106"/>
    </row>
    <row r="6" spans="1:21" ht="14.4" customHeight="1">
      <c r="B6" s="17">
        <v>0.5</v>
      </c>
      <c r="C6" s="18">
        <v>0.05</v>
      </c>
      <c r="D6" s="19">
        <f>$Q$2</f>
        <v>3</v>
      </c>
      <c r="E6" s="154">
        <f>EXP(-C6*B6)</f>
        <v>0.97530991202833262</v>
      </c>
      <c r="F6" s="154"/>
      <c r="G6" s="20">
        <f>E6*D6</f>
        <v>2.9259297360849978</v>
      </c>
      <c r="I6" s="142" t="s">
        <v>10</v>
      </c>
      <c r="J6" s="143"/>
      <c r="K6" s="144"/>
      <c r="M6" s="107"/>
      <c r="N6" s="108"/>
      <c r="O6" s="108"/>
      <c r="P6" s="108"/>
      <c r="Q6" s="109"/>
    </row>
    <row r="7" spans="1:21" ht="16.2" thickBot="1">
      <c r="B7" s="11">
        <f>B6+0.5</f>
        <v>1</v>
      </c>
      <c r="C7" s="9">
        <v>5.8000000000000003E-2</v>
      </c>
      <c r="D7" s="10">
        <f>$Q$2</f>
        <v>3</v>
      </c>
      <c r="E7" s="155">
        <f t="shared" ref="E7:E9" si="0">EXP(-C7*B7)</f>
        <v>0.94364994743679853</v>
      </c>
      <c r="F7" s="155"/>
      <c r="G7" s="12">
        <f t="shared" ref="G7:G9" si="1">E7*D7</f>
        <v>2.8309498423103956</v>
      </c>
      <c r="I7" s="145"/>
      <c r="J7" s="146"/>
      <c r="K7" s="147"/>
      <c r="M7" s="107"/>
      <c r="N7" s="108"/>
      <c r="O7" s="108"/>
      <c r="P7" s="108"/>
      <c r="Q7" s="109"/>
    </row>
    <row r="8" spans="1:21" ht="16.2" thickBot="1">
      <c r="B8" s="11">
        <v>1.5</v>
      </c>
      <c r="C8" s="9">
        <v>6.4000000000000001E-2</v>
      </c>
      <c r="D8" s="10">
        <f>$Q$2</f>
        <v>3</v>
      </c>
      <c r="E8" s="155">
        <f t="shared" si="0"/>
        <v>0.90846401606870619</v>
      </c>
      <c r="F8" s="155"/>
      <c r="G8" s="12">
        <f t="shared" si="1"/>
        <v>2.7253920482061185</v>
      </c>
      <c r="I8" s="50"/>
      <c r="J8" s="51">
        <f>SUM(G6:G9)</f>
        <v>98.385062772939605</v>
      </c>
      <c r="K8" s="52"/>
      <c r="M8" s="107"/>
      <c r="N8" s="108"/>
      <c r="O8" s="108"/>
      <c r="P8" s="108"/>
      <c r="Q8" s="109"/>
    </row>
    <row r="9" spans="1:21" ht="16.2" thickBot="1">
      <c r="B9" s="13">
        <f>B8+0.5</f>
        <v>2</v>
      </c>
      <c r="C9" s="14">
        <v>6.8000000000000005E-2</v>
      </c>
      <c r="D9" s="15">
        <f>$Q$2+N2</f>
        <v>103</v>
      </c>
      <c r="E9" s="156">
        <f t="shared" si="0"/>
        <v>0.87284263248871929</v>
      </c>
      <c r="F9" s="156"/>
      <c r="G9" s="16">
        <f t="shared" si="1"/>
        <v>89.902791146338089</v>
      </c>
      <c r="M9" s="110"/>
      <c r="N9" s="111"/>
      <c r="O9" s="111"/>
      <c r="P9" s="111"/>
      <c r="Q9" s="112"/>
    </row>
    <row r="10" spans="1:21">
      <c r="D10" s="3"/>
    </row>
    <row r="12" spans="1:21">
      <c r="A12" s="24"/>
      <c r="B12" s="24"/>
      <c r="C12" s="24"/>
      <c r="D12" s="24"/>
      <c r="E12" s="24"/>
      <c r="F12" s="24"/>
      <c r="G12" s="24"/>
      <c r="H12" s="24"/>
      <c r="I12" s="24"/>
      <c r="J12" s="24"/>
      <c r="K12" s="24"/>
      <c r="L12" s="24"/>
      <c r="M12" s="24"/>
      <c r="N12" s="24"/>
      <c r="O12" s="24"/>
      <c r="P12" s="24"/>
      <c r="Q12" s="24"/>
      <c r="R12" s="24"/>
      <c r="S12" s="24"/>
      <c r="T12" s="24"/>
      <c r="U12" s="24"/>
    </row>
    <row r="13" spans="1:21" ht="16.2" thickBot="1"/>
    <row r="14" spans="1:21">
      <c r="A14" s="132" t="s">
        <v>11</v>
      </c>
      <c r="B14" s="133"/>
      <c r="C14" s="133"/>
      <c r="D14" s="133"/>
      <c r="E14" s="133"/>
      <c r="F14" s="133"/>
      <c r="G14" s="133"/>
      <c r="H14" s="133"/>
      <c r="I14" s="133"/>
      <c r="J14" s="133"/>
      <c r="K14" s="134"/>
      <c r="M14" s="33" t="s">
        <v>13</v>
      </c>
      <c r="N14" s="34">
        <v>0.05</v>
      </c>
      <c r="P14" s="33" t="s">
        <v>20</v>
      </c>
      <c r="Q14" s="42">
        <f>1.48*10^-8</f>
        <v>1.48E-8</v>
      </c>
    </row>
    <row r="15" spans="1:21" ht="16.2" thickBot="1">
      <c r="A15" s="135" t="s">
        <v>12</v>
      </c>
      <c r="B15" s="136"/>
      <c r="C15" s="136"/>
      <c r="D15" s="136"/>
      <c r="E15" s="136"/>
      <c r="F15" s="136"/>
      <c r="G15" s="136"/>
      <c r="H15" s="136"/>
      <c r="I15" s="136"/>
      <c r="J15" s="136"/>
      <c r="K15" s="137"/>
      <c r="M15" s="25" t="s">
        <v>14</v>
      </c>
      <c r="N15" s="26">
        <f>J8</f>
        <v>98.385062772939605</v>
      </c>
    </row>
    <row r="17" spans="2:15" ht="31.8" thickBot="1">
      <c r="B17" s="39" t="s">
        <v>1</v>
      </c>
      <c r="C17" s="39" t="s">
        <v>7</v>
      </c>
      <c r="E17" s="39" t="s">
        <v>15</v>
      </c>
      <c r="F17" s="39" t="s">
        <v>19</v>
      </c>
      <c r="H17" s="39" t="s">
        <v>21</v>
      </c>
      <c r="I17" s="39" t="s">
        <v>19</v>
      </c>
    </row>
    <row r="18" spans="2:15">
      <c r="B18" s="35">
        <v>0.5</v>
      </c>
      <c r="C18" s="35">
        <f>$Q$2</f>
        <v>3</v>
      </c>
      <c r="E18" s="43">
        <f>C18*EXP(-$N$14*B18)</f>
        <v>2.9259297360849978</v>
      </c>
      <c r="F18" s="46">
        <f>-B18*C18*EXP(-$N$14*B18)</f>
        <v>-1.4629648680424989</v>
      </c>
      <c r="H18" s="43">
        <f>C18*EXP(-$E$27*B18)</f>
        <v>2.9006962720531715</v>
      </c>
      <c r="I18" s="46">
        <f>-B18*C18*EXP(-$E$27*B18)</f>
        <v>-1.4503481360265857</v>
      </c>
    </row>
    <row r="19" spans="2:15" ht="16.2" thickBot="1">
      <c r="B19" s="36">
        <f>B18+0.5</f>
        <v>1</v>
      </c>
      <c r="C19" s="36">
        <f>$Q$2</f>
        <v>3</v>
      </c>
      <c r="E19" s="44">
        <f>C19*EXP(-$N$14*B19)</f>
        <v>2.8536882735021418</v>
      </c>
      <c r="F19" s="47">
        <f t="shared" ref="F19:F21" si="2">-B19*C19*EXP(-$N$14*B19)</f>
        <v>-2.8536882735021418</v>
      </c>
      <c r="H19" s="44">
        <f t="shared" ref="H19:H21" si="3">C19*EXP(-$E$27*B19)</f>
        <v>2.8046796209010552</v>
      </c>
      <c r="I19" s="47">
        <f t="shared" ref="I19:I21" si="4">-B19*C19*EXP(-$E$27*B19)</f>
        <v>-2.8046796209010552</v>
      </c>
    </row>
    <row r="20" spans="2:15">
      <c r="B20" s="36">
        <v>1.5</v>
      </c>
      <c r="C20" s="36">
        <f>$Q$2</f>
        <v>3</v>
      </c>
      <c r="E20" s="44">
        <f>C20*EXP(-$N$14*B20)</f>
        <v>2.7832304589856585</v>
      </c>
      <c r="F20" s="47">
        <f t="shared" si="2"/>
        <v>-4.1748456884784879</v>
      </c>
      <c r="H20" s="44">
        <f t="shared" si="3"/>
        <v>2.7118412402170646</v>
      </c>
      <c r="I20" s="47">
        <f t="shared" si="4"/>
        <v>-4.0677618603255965</v>
      </c>
      <c r="K20" s="142" t="s">
        <v>24</v>
      </c>
      <c r="L20" s="143"/>
      <c r="M20" s="144"/>
    </row>
    <row r="21" spans="2:15" ht="16.2" thickBot="1">
      <c r="B21" s="37">
        <f>B20+0.5</f>
        <v>2</v>
      </c>
      <c r="C21" s="40">
        <f>$Q$2+N2</f>
        <v>103</v>
      </c>
      <c r="E21" s="45">
        <f>C21*EXP(-$N$14*B21)</f>
        <v>93.198254057703835</v>
      </c>
      <c r="F21" s="48">
        <f t="shared" si="2"/>
        <v>-186.39650811540767</v>
      </c>
      <c r="H21" s="45">
        <f t="shared" si="3"/>
        <v>90.024606768606859</v>
      </c>
      <c r="I21" s="48">
        <f t="shared" si="4"/>
        <v>-180.04921353721372</v>
      </c>
      <c r="K21" s="145"/>
      <c r="L21" s="146"/>
      <c r="M21" s="147"/>
    </row>
    <row r="22" spans="2:15" ht="16.2" thickBot="1">
      <c r="B22" s="38"/>
      <c r="F22" s="2"/>
      <c r="K22" s="50"/>
      <c r="L22" s="53">
        <f>H40</f>
        <v>6.7624387160287722E-2</v>
      </c>
      <c r="M22" s="52"/>
    </row>
    <row r="23" spans="2:15" ht="16.2" thickBot="1">
      <c r="B23" s="148" t="s">
        <v>18</v>
      </c>
      <c r="C23" s="149"/>
      <c r="E23" s="41">
        <f>SUM(E18:E21)</f>
        <v>101.76110252627663</v>
      </c>
      <c r="F23" s="49">
        <f>SUM(F18:F21)</f>
        <v>-194.88800694543079</v>
      </c>
      <c r="H23" s="41">
        <f>SUM(H18:H21)</f>
        <v>98.44182390177815</v>
      </c>
      <c r="I23" s="49">
        <f>SUM(I18:I21)</f>
        <v>-188.37200315446697</v>
      </c>
    </row>
    <row r="24" spans="2:15" ht="16.2" thickBot="1"/>
    <row r="25" spans="2:15" ht="16.2" thickBot="1">
      <c r="B25" s="148" t="s">
        <v>16</v>
      </c>
      <c r="C25" s="149"/>
      <c r="E25" s="150">
        <f>E23-$N$15</f>
        <v>3.3760397533370252</v>
      </c>
      <c r="F25" s="151"/>
      <c r="H25" s="150">
        <f>H23-N15</f>
        <v>5.6761128838545005E-2</v>
      </c>
      <c r="I25" s="151"/>
    </row>
    <row r="26" spans="2:15" ht="16.5" customHeight="1" thickBot="1">
      <c r="K26" s="104" t="s">
        <v>65</v>
      </c>
      <c r="L26" s="105"/>
      <c r="M26" s="105"/>
      <c r="N26" s="105"/>
      <c r="O26" s="106"/>
    </row>
    <row r="27" spans="2:15" ht="16.2" thickBot="1">
      <c r="B27" s="148" t="s">
        <v>17</v>
      </c>
      <c r="C27" s="149"/>
      <c r="E27" s="152">
        <f>N14-(E25 / F23)</f>
        <v>6.7322973364299044E-2</v>
      </c>
      <c r="F27" s="153"/>
      <c r="H27" s="152">
        <f>E27-(H25 / I23)</f>
        <v>6.7624298019173579E-2</v>
      </c>
      <c r="I27" s="153"/>
      <c r="K27" s="107"/>
      <c r="L27" s="108"/>
      <c r="M27" s="108"/>
      <c r="N27" s="108"/>
      <c r="O27" s="109"/>
    </row>
    <row r="28" spans="2:15">
      <c r="K28" s="107"/>
      <c r="L28" s="108"/>
      <c r="M28" s="108"/>
      <c r="N28" s="108"/>
      <c r="O28" s="109"/>
    </row>
    <row r="29" spans="2:15">
      <c r="K29" s="107"/>
      <c r="L29" s="108"/>
      <c r="M29" s="108"/>
      <c r="N29" s="108"/>
      <c r="O29" s="109"/>
    </row>
    <row r="30" spans="2:15" ht="16.2" thickBot="1">
      <c r="E30" s="39" t="s">
        <v>22</v>
      </c>
      <c r="F30" s="39" t="s">
        <v>19</v>
      </c>
      <c r="H30" s="39" t="s">
        <v>23</v>
      </c>
      <c r="I30" s="39" t="s">
        <v>19</v>
      </c>
      <c r="K30" s="107"/>
      <c r="L30" s="108"/>
      <c r="M30" s="108"/>
      <c r="N30" s="108"/>
      <c r="O30" s="109"/>
    </row>
    <row r="31" spans="2:15">
      <c r="E31" s="43">
        <f>C18*EXP(-$H$27*B18)</f>
        <v>2.9002592793216326</v>
      </c>
      <c r="F31" s="46">
        <f>-B18*C18*EXP(-$H$27*B18)</f>
        <v>-1.4501296396608163</v>
      </c>
      <c r="H31" s="43">
        <f>C18*EXP(-$E$40*B18)</f>
        <v>2.9002591500554753</v>
      </c>
      <c r="I31" s="46">
        <f>-B18*C18*EXP(-$E$40*B18)</f>
        <v>-1.4501295750277376</v>
      </c>
      <c r="K31" s="107"/>
      <c r="L31" s="108"/>
      <c r="M31" s="108"/>
      <c r="N31" s="108"/>
      <c r="O31" s="109"/>
    </row>
    <row r="32" spans="2:15">
      <c r="E32" s="44">
        <f>C19*EXP(-$H$27*B19)</f>
        <v>2.803834629097079</v>
      </c>
      <c r="F32" s="47">
        <f>-B19*C19*EXP(-$H$27*B19)</f>
        <v>-2.803834629097079</v>
      </c>
      <c r="H32" s="44">
        <f t="shared" ref="H32:H34" si="5">C19*EXP(-$E$40*B19)</f>
        <v>2.8038343791601692</v>
      </c>
      <c r="I32" s="47">
        <f t="shared" ref="I32:I34" si="6">-B19*C19*EXP(-$E$40*B19)</f>
        <v>-2.8038343791601692</v>
      </c>
      <c r="K32" s="107"/>
      <c r="L32" s="108"/>
      <c r="M32" s="108"/>
      <c r="N32" s="108"/>
      <c r="O32" s="109"/>
    </row>
    <row r="33" spans="1:21" ht="16.2" thickBot="1">
      <c r="E33" s="44">
        <f>C20*EXP(-$H$27*B20)</f>
        <v>2.7106158002407108</v>
      </c>
      <c r="F33" s="47">
        <f>-B20*C20*EXP(-$H$27*B20)</f>
        <v>-4.0659237003610658</v>
      </c>
      <c r="H33" s="44">
        <f t="shared" si="5"/>
        <v>2.710615437799798</v>
      </c>
      <c r="I33" s="47">
        <f t="shared" si="6"/>
        <v>-4.0659231566996965</v>
      </c>
      <c r="K33" s="110"/>
      <c r="L33" s="111"/>
      <c r="M33" s="111"/>
      <c r="N33" s="111"/>
      <c r="O33" s="112"/>
    </row>
    <row r="34" spans="1:21" ht="16.2" thickBot="1">
      <c r="E34" s="45">
        <f>C21*EXP(-$H$27*B21)</f>
        <v>89.970369846040811</v>
      </c>
      <c r="F34" s="48">
        <f>-B21*C21*EXP(-$H$27*B21)</f>
        <v>-179.94073969208162</v>
      </c>
      <c r="H34" s="45">
        <f t="shared" si="5"/>
        <v>89.970353805925626</v>
      </c>
      <c r="I34" s="48">
        <f t="shared" si="6"/>
        <v>-179.94070761185125</v>
      </c>
    </row>
    <row r="35" spans="1:21" ht="16.2" thickBot="1"/>
    <row r="36" spans="1:21" ht="16.2" thickBot="1">
      <c r="E36" s="41">
        <f>SUM(E31:E34)</f>
        <v>98.385079554700241</v>
      </c>
      <c r="F36" s="49">
        <f>SUM(F31:F34)</f>
        <v>-188.26062766120057</v>
      </c>
      <c r="H36" s="41">
        <f>SUM(H31:H34)</f>
        <v>98.385062772941069</v>
      </c>
      <c r="I36" s="49">
        <f>SUM(I31:I34)</f>
        <v>-188.26059472273886</v>
      </c>
    </row>
    <row r="37" spans="1:21" ht="16.2" thickBot="1"/>
    <row r="38" spans="1:21" ht="16.2" thickBot="1">
      <c r="B38" s="148" t="s">
        <v>16</v>
      </c>
      <c r="C38" s="149"/>
      <c r="E38" s="150">
        <f>E36-$N$15</f>
        <v>1.6781760635353749E-5</v>
      </c>
      <c r="F38" s="151"/>
      <c r="H38" s="150">
        <f>H36-$N$15</f>
        <v>1.4637180356658064E-12</v>
      </c>
      <c r="I38" s="151"/>
    </row>
    <row r="39" spans="1:21" ht="16.2" thickBot="1"/>
    <row r="40" spans="1:21" ht="16.2" thickBot="1">
      <c r="B40" s="148" t="s">
        <v>17</v>
      </c>
      <c r="C40" s="149"/>
      <c r="E40" s="152">
        <f>H27-(E38 / F36)</f>
        <v>6.762438716027995E-2</v>
      </c>
      <c r="F40" s="153"/>
      <c r="H40" s="152">
        <f>E40-(H38 / I36)</f>
        <v>6.7624387160287722E-2</v>
      </c>
      <c r="I40" s="153"/>
      <c r="K40" s="157"/>
    </row>
    <row r="43" spans="1:21">
      <c r="A43" s="24"/>
      <c r="B43" s="24"/>
      <c r="C43" s="24"/>
      <c r="D43" s="24"/>
      <c r="E43" s="24"/>
      <c r="F43" s="24"/>
      <c r="G43" s="24"/>
      <c r="H43" s="24"/>
      <c r="I43" s="24"/>
      <c r="J43" s="24"/>
      <c r="K43" s="24"/>
      <c r="L43" s="24"/>
      <c r="M43" s="24"/>
      <c r="N43" s="24"/>
      <c r="O43" s="24"/>
      <c r="P43" s="24"/>
      <c r="Q43" s="24"/>
      <c r="R43" s="24"/>
      <c r="S43" s="24"/>
      <c r="T43" s="24"/>
      <c r="U43" s="24"/>
    </row>
    <row r="44" spans="1:21" ht="16.2" thickBot="1"/>
    <row r="45" spans="1:21">
      <c r="A45" s="132" t="s">
        <v>28</v>
      </c>
      <c r="B45" s="133"/>
      <c r="C45" s="133"/>
      <c r="D45" s="133"/>
      <c r="E45" s="133"/>
      <c r="F45" s="133"/>
      <c r="G45" s="133"/>
      <c r="H45" s="133"/>
      <c r="I45" s="133"/>
      <c r="J45" s="133"/>
      <c r="K45" s="134"/>
      <c r="M45" s="138" t="e" vm="2">
        <v>#VALUE!</v>
      </c>
      <c r="N45" s="138"/>
      <c r="P45" s="138" t="e" vm="3">
        <v>#VALUE!</v>
      </c>
      <c r="Q45" s="138"/>
    </row>
    <row r="46" spans="1:21" ht="16.2" thickBot="1">
      <c r="A46" s="135" t="s">
        <v>29</v>
      </c>
      <c r="B46" s="136"/>
      <c r="C46" s="136"/>
      <c r="D46" s="136"/>
      <c r="E46" s="136"/>
      <c r="F46" s="136"/>
      <c r="G46" s="136"/>
      <c r="H46" s="136"/>
      <c r="I46" s="136"/>
      <c r="J46" s="136"/>
      <c r="K46" s="137"/>
      <c r="M46" s="138"/>
      <c r="N46" s="138"/>
      <c r="P46" s="138"/>
      <c r="Q46" s="138"/>
    </row>
    <row r="47" spans="1:21">
      <c r="M47" s="127" t="s">
        <v>25</v>
      </c>
      <c r="N47" s="127"/>
      <c r="P47" s="127" t="s">
        <v>38</v>
      </c>
      <c r="Q47" s="127"/>
    </row>
    <row r="48" spans="1:21" ht="16.2" thickBot="1"/>
    <row r="49" spans="1:21" ht="16.2" thickBot="1">
      <c r="B49" s="54" t="s">
        <v>30</v>
      </c>
      <c r="C49" s="55">
        <f>L22</f>
        <v>6.7624387160287722E-2</v>
      </c>
      <c r="E49" s="54" t="s">
        <v>31</v>
      </c>
      <c r="F49" s="56">
        <f>N15</f>
        <v>98.385062772939605</v>
      </c>
    </row>
    <row r="50" spans="1:21" ht="16.2" thickBot="1"/>
    <row r="51" spans="1:21" ht="16.2" thickBot="1">
      <c r="E51" s="62" t="s">
        <v>36</v>
      </c>
      <c r="K51" s="62" t="s">
        <v>37</v>
      </c>
    </row>
    <row r="52" spans="1:21" ht="31.8" thickBot="1">
      <c r="B52" s="39" t="s">
        <v>1</v>
      </c>
      <c r="C52" s="39" t="s">
        <v>7</v>
      </c>
      <c r="E52" s="1" t="e" vm="4">
        <v>#VALUE!</v>
      </c>
      <c r="K52" s="1" t="e" vm="5">
        <v>#VALUE!</v>
      </c>
      <c r="Q52" s="104" t="s">
        <v>66</v>
      </c>
      <c r="R52" s="105"/>
      <c r="S52" s="105"/>
      <c r="T52" s="105"/>
      <c r="U52" s="106"/>
    </row>
    <row r="53" spans="1:21">
      <c r="B53" s="35">
        <v>0.5</v>
      </c>
      <c r="C53" s="43">
        <f>$Q$2</f>
        <v>3</v>
      </c>
      <c r="E53" s="57">
        <f>B53*C53*EXP(-$C$49*B53)</f>
        <v>1.4501295750277321</v>
      </c>
      <c r="G53" s="115" t="s">
        <v>35</v>
      </c>
      <c r="H53" s="116"/>
      <c r="I53" s="117"/>
      <c r="K53" s="57">
        <f>B53*B53*C53*EXP(-$C$49*B53)</f>
        <v>0.72506478751386605</v>
      </c>
      <c r="M53" s="115" t="s">
        <v>39</v>
      </c>
      <c r="N53" s="116"/>
      <c r="O53" s="117"/>
      <c r="Q53" s="107"/>
      <c r="R53" s="108"/>
      <c r="S53" s="108"/>
      <c r="T53" s="108"/>
      <c r="U53" s="109"/>
    </row>
    <row r="54" spans="1:21" ht="16.2" thickBot="1">
      <c r="B54" s="36">
        <f>B53+0.5</f>
        <v>1</v>
      </c>
      <c r="C54" s="44">
        <f>$Q$2</f>
        <v>3</v>
      </c>
      <c r="E54" s="58">
        <f t="shared" ref="E54:E56" si="7">B54*C54*EXP(-$C$49*B54)</f>
        <v>2.8038343791601474</v>
      </c>
      <c r="G54" s="118"/>
      <c r="H54" s="119"/>
      <c r="I54" s="120"/>
      <c r="K54" s="58">
        <f t="shared" ref="K54:K56" si="8">B54*B54*C54*EXP(-$C$49*B54)</f>
        <v>2.8038343791601474</v>
      </c>
      <c r="M54" s="118"/>
      <c r="N54" s="119"/>
      <c r="O54" s="120"/>
      <c r="Q54" s="107"/>
      <c r="R54" s="108"/>
      <c r="S54" s="108"/>
      <c r="T54" s="108"/>
      <c r="U54" s="109"/>
    </row>
    <row r="55" spans="1:21" ht="16.2" thickBot="1">
      <c r="B55" s="36">
        <v>1.5</v>
      </c>
      <c r="C55" s="44">
        <f>$Q$2</f>
        <v>3</v>
      </c>
      <c r="E55" s="58">
        <f t="shared" si="7"/>
        <v>4.0659231566996494</v>
      </c>
      <c r="G55" s="50"/>
      <c r="H55" s="61">
        <f>E58/F49</f>
        <v>1.913507898624996</v>
      </c>
      <c r="I55" s="52" t="s">
        <v>33</v>
      </c>
      <c r="K55" s="58">
        <f t="shared" si="8"/>
        <v>6.0988847350494746</v>
      </c>
      <c r="M55" s="139">
        <f>K58/F49</f>
        <v>3.7557449140242087</v>
      </c>
      <c r="N55" s="140"/>
      <c r="O55" s="141"/>
      <c r="Q55" s="107"/>
      <c r="R55" s="108"/>
      <c r="S55" s="108"/>
      <c r="T55" s="108"/>
      <c r="U55" s="109"/>
    </row>
    <row r="56" spans="1:21" ht="16.2" thickBot="1">
      <c r="B56" s="37">
        <f>B55+0.5</f>
        <v>2</v>
      </c>
      <c r="C56" s="40">
        <f>$Q$2+$N$2</f>
        <v>103</v>
      </c>
      <c r="E56" s="37">
        <f t="shared" si="7"/>
        <v>179.94070761184847</v>
      </c>
      <c r="K56" s="37">
        <f t="shared" si="8"/>
        <v>359.88141522369693</v>
      </c>
      <c r="Q56" s="110"/>
      <c r="R56" s="111"/>
      <c r="S56" s="111"/>
      <c r="T56" s="111"/>
      <c r="U56" s="112"/>
    </row>
    <row r="57" spans="1:21" ht="16.2" thickBot="1"/>
    <row r="58" spans="1:21" ht="16.2" thickBot="1">
      <c r="D58" s="59" t="s">
        <v>32</v>
      </c>
      <c r="E58" s="60">
        <f>SUM(E53:E56)</f>
        <v>188.26059472273599</v>
      </c>
      <c r="J58" s="59" t="s">
        <v>32</v>
      </c>
      <c r="K58" s="60">
        <f>SUM(K53:K56)</f>
        <v>369.50919912542042</v>
      </c>
    </row>
    <row r="61" spans="1:21">
      <c r="A61" s="24"/>
      <c r="B61" s="24"/>
      <c r="C61" s="24"/>
      <c r="D61" s="24"/>
      <c r="E61" s="24"/>
      <c r="F61" s="24"/>
      <c r="G61" s="24"/>
      <c r="H61" s="24"/>
      <c r="I61" s="24"/>
      <c r="J61" s="24"/>
      <c r="K61" s="24"/>
      <c r="L61" s="24"/>
      <c r="M61" s="24"/>
      <c r="N61" s="24"/>
      <c r="O61" s="24"/>
      <c r="P61" s="24"/>
      <c r="Q61" s="24"/>
      <c r="R61" s="24"/>
      <c r="S61" s="24"/>
      <c r="T61" s="24"/>
      <c r="U61" s="24"/>
    </row>
    <row r="62" spans="1:21" ht="16.2" thickBot="1"/>
    <row r="63" spans="1:21">
      <c r="A63" s="132" t="s">
        <v>34</v>
      </c>
      <c r="B63" s="133"/>
      <c r="C63" s="133"/>
      <c r="D63" s="133"/>
      <c r="E63" s="133"/>
      <c r="F63" s="133"/>
      <c r="G63" s="133"/>
      <c r="H63" s="133"/>
      <c r="I63" s="133"/>
      <c r="J63" s="133"/>
      <c r="K63" s="134"/>
      <c r="M63" s="68" t="s">
        <v>42</v>
      </c>
      <c r="N63" s="66">
        <v>42461</v>
      </c>
      <c r="O63" s="67"/>
      <c r="P63" s="69" t="s">
        <v>41</v>
      </c>
      <c r="Q63" s="71">
        <v>0.05</v>
      </c>
    </row>
    <row r="64" spans="1:21" ht="16.2" thickBot="1">
      <c r="A64" s="135" t="s">
        <v>40</v>
      </c>
      <c r="B64" s="136"/>
      <c r="C64" s="136"/>
      <c r="D64" s="136"/>
      <c r="E64" s="136"/>
      <c r="F64" s="136"/>
      <c r="G64" s="136"/>
      <c r="H64" s="136"/>
      <c r="I64" s="136"/>
      <c r="J64" s="136"/>
      <c r="K64" s="137"/>
      <c r="M64" s="72" t="s">
        <v>3</v>
      </c>
      <c r="N64" s="73">
        <v>2</v>
      </c>
      <c r="O64" s="74"/>
      <c r="P64" s="75" t="s">
        <v>4</v>
      </c>
      <c r="Q64" s="76">
        <v>100000000</v>
      </c>
    </row>
    <row r="65" spans="2:20" ht="16.2" thickBot="1">
      <c r="M65" s="50" t="s">
        <v>43</v>
      </c>
      <c r="N65" s="65" t="s">
        <v>44</v>
      </c>
      <c r="O65" s="64"/>
      <c r="P65" s="70" t="s">
        <v>45</v>
      </c>
      <c r="Q65" s="77">
        <v>4.8000000000000001E-2</v>
      </c>
    </row>
    <row r="66" spans="2:20" ht="16.2" thickBot="1">
      <c r="B66" s="127" t="s">
        <v>46</v>
      </c>
      <c r="C66" s="127"/>
      <c r="E66" s="87" t="s">
        <v>51</v>
      </c>
    </row>
    <row r="67" spans="2:20" ht="31.8" thickBot="1">
      <c r="B67" s="79" t="s">
        <v>47</v>
      </c>
      <c r="C67" s="80" t="s">
        <v>48</v>
      </c>
      <c r="E67" s="79" t="s">
        <v>50</v>
      </c>
      <c r="F67" s="128" t="s">
        <v>49</v>
      </c>
      <c r="G67" s="129"/>
      <c r="I67" s="62" t="s">
        <v>55</v>
      </c>
      <c r="J67" s="99" t="s">
        <v>57</v>
      </c>
    </row>
    <row r="68" spans="2:20">
      <c r="B68" s="81">
        <v>42646</v>
      </c>
      <c r="C68" s="78">
        <v>4.7399999999999998E-2</v>
      </c>
      <c r="E68" s="84">
        <f>(B68-$N$63)/360</f>
        <v>0.51388888888888884</v>
      </c>
      <c r="F68" s="130">
        <f>EXP(-C68*E68)</f>
        <v>0.97593593671665857</v>
      </c>
      <c r="G68" s="131"/>
      <c r="I68" s="95">
        <f>Q65</f>
        <v>4.8000000000000001E-2</v>
      </c>
      <c r="J68" s="95">
        <f>I68</f>
        <v>4.8000000000000001E-2</v>
      </c>
      <c r="K68" s="98" t="s">
        <v>56</v>
      </c>
    </row>
    <row r="69" spans="2:20">
      <c r="B69" s="82">
        <v>42828</v>
      </c>
      <c r="C69" s="78">
        <v>0.05</v>
      </c>
      <c r="E69" s="85">
        <f t="shared" ref="E69:E70" si="9">(B69-$N$63)/360</f>
        <v>1.0194444444444444</v>
      </c>
      <c r="F69" s="123">
        <f>EXP(-C69*E69)</f>
        <v>0.95030506752878718</v>
      </c>
      <c r="G69" s="124"/>
      <c r="I69" s="96">
        <f>(C69*E69-C68*E68)/(E69-E68)</f>
        <v>5.2642857142857158E-2</v>
      </c>
      <c r="J69" s="96">
        <f>2*(EXP(I69/2)-1)</f>
        <v>5.3341793605755861E-2</v>
      </c>
    </row>
    <row r="70" spans="2:20">
      <c r="B70" s="82">
        <v>43010</v>
      </c>
      <c r="C70" s="78">
        <v>5.0999999999999997E-2</v>
      </c>
      <c r="E70" s="85">
        <f t="shared" si="9"/>
        <v>1.5249999999999999</v>
      </c>
      <c r="F70" s="123">
        <f t="shared" ref="F70:F71" si="10">EXP(-C70*E70)</f>
        <v>0.92517256695442973</v>
      </c>
      <c r="G70" s="124"/>
      <c r="I70" s="96">
        <f t="shared" ref="I70:I71" si="11">(C70*E70-C69*E69)/(E70-E69)</f>
        <v>5.3016483516483505E-2</v>
      </c>
      <c r="J70" s="96">
        <f t="shared" ref="J69:J71" si="12">2*(EXP(I70/2)-1)</f>
        <v>5.3725420762026133E-2</v>
      </c>
    </row>
    <row r="71" spans="2:20" ht="16.2" thickBot="1">
      <c r="B71" s="83">
        <v>43192</v>
      </c>
      <c r="C71" s="77">
        <v>5.1999999999999998E-2</v>
      </c>
      <c r="E71" s="86">
        <f>(B71-$N$63)/360</f>
        <v>2.0305555555555554</v>
      </c>
      <c r="F71" s="125">
        <f t="shared" si="10"/>
        <v>0.89979448755970692</v>
      </c>
      <c r="G71" s="126"/>
      <c r="I71" s="97">
        <f t="shared" si="11"/>
        <v>5.5016483516483514E-2</v>
      </c>
      <c r="J71" s="97">
        <f t="shared" si="12"/>
        <v>5.5780173387871557E-2</v>
      </c>
    </row>
    <row r="73" spans="2:20" ht="16.2" thickBot="1"/>
    <row r="74" spans="2:20" ht="16.2" thickBot="1">
      <c r="E74" s="90" t="s">
        <v>52</v>
      </c>
      <c r="F74" s="63" t="s">
        <v>9</v>
      </c>
      <c r="H74" s="90" t="s">
        <v>53</v>
      </c>
      <c r="I74" s="63" t="s">
        <v>54</v>
      </c>
      <c r="P74" s="104" t="s">
        <v>67</v>
      </c>
      <c r="Q74" s="105"/>
      <c r="R74" s="105"/>
      <c r="S74" s="105"/>
      <c r="T74" s="106"/>
    </row>
    <row r="75" spans="2:20" ht="15.75" customHeight="1">
      <c r="E75" s="91">
        <f>$Q$64*$Q$63*E68</f>
        <v>2569444.444444444</v>
      </c>
      <c r="F75" s="88">
        <f>E75*F68</f>
        <v>2507613.170730303</v>
      </c>
      <c r="H75" s="91">
        <f>$Q$64*J68*E68</f>
        <v>2466666.6666666665</v>
      </c>
      <c r="I75" s="88">
        <f>H75*F68</f>
        <v>2407308.6439010911</v>
      </c>
      <c r="K75" s="115" t="s">
        <v>58</v>
      </c>
      <c r="L75" s="116"/>
      <c r="M75" s="117"/>
      <c r="P75" s="107"/>
      <c r="Q75" s="108"/>
      <c r="R75" s="108"/>
      <c r="S75" s="108"/>
      <c r="T75" s="109"/>
    </row>
    <row r="76" spans="2:20" ht="16.2" thickBot="1">
      <c r="E76" s="91">
        <f>$Q$64*$Q$63*(E69-E68)</f>
        <v>2527777.7777777775</v>
      </c>
      <c r="F76" s="88">
        <f t="shared" ref="F76:F78" si="13">E76*F69</f>
        <v>2402160.0318088783</v>
      </c>
      <c r="H76" s="91">
        <f>$Q$64*J69*(E69-E68)</f>
        <v>2696724.0100687682</v>
      </c>
      <c r="I76" s="88">
        <f t="shared" ref="I76:I78" si="14">H76*F69</f>
        <v>2562710.4924949026</v>
      </c>
      <c r="K76" s="118"/>
      <c r="L76" s="119"/>
      <c r="M76" s="120"/>
      <c r="P76" s="107"/>
      <c r="Q76" s="108"/>
      <c r="R76" s="108"/>
      <c r="S76" s="108"/>
      <c r="T76" s="109"/>
    </row>
    <row r="77" spans="2:20" ht="16.5" customHeight="1" thickBot="1">
      <c r="E77" s="91">
        <f t="shared" ref="E77:E78" si="15">$Q$64*$Q$63*(E70-E69)</f>
        <v>2527777.7777777775</v>
      </c>
      <c r="F77" s="88">
        <f t="shared" si="13"/>
        <v>2338630.6553570307</v>
      </c>
      <c r="H77" s="91">
        <f t="shared" ref="H77:H78" si="16">$Q$64*J70*(E70-E69)</f>
        <v>2716118.4940802101</v>
      </c>
      <c r="I77" s="88">
        <f t="shared" si="14"/>
        <v>2512878.3193205879</v>
      </c>
      <c r="K77" s="121">
        <f>I80-F80</f>
        <v>497431.4321485348</v>
      </c>
      <c r="L77" s="122"/>
      <c r="M77" s="100"/>
      <c r="P77" s="107"/>
      <c r="Q77" s="108"/>
      <c r="R77" s="108"/>
      <c r="S77" s="108"/>
      <c r="T77" s="109"/>
    </row>
    <row r="78" spans="2:20" ht="16.5" customHeight="1" thickBot="1">
      <c r="E78" s="92">
        <f t="shared" si="15"/>
        <v>2527777.7777777775</v>
      </c>
      <c r="F78" s="89">
        <f t="shared" si="13"/>
        <v>2274480.5102203703</v>
      </c>
      <c r="H78" s="92">
        <f t="shared" si="16"/>
        <v>2819997.6546090618</v>
      </c>
      <c r="I78" s="89">
        <f t="shared" si="14"/>
        <v>2537418.344548536</v>
      </c>
      <c r="K78" s="113" t="s">
        <v>59</v>
      </c>
      <c r="L78" s="113"/>
      <c r="M78" s="113"/>
      <c r="P78" s="107"/>
      <c r="Q78" s="108"/>
      <c r="R78" s="108"/>
      <c r="S78" s="108"/>
      <c r="T78" s="109"/>
    </row>
    <row r="79" spans="2:20" ht="16.2" thickBot="1">
      <c r="E79" s="3"/>
      <c r="F79" s="3"/>
      <c r="H79" s="3"/>
      <c r="I79" s="3"/>
      <c r="P79" s="107"/>
      <c r="Q79" s="108"/>
      <c r="R79" s="108"/>
      <c r="S79" s="108"/>
      <c r="T79" s="109"/>
    </row>
    <row r="80" spans="2:20" ht="16.2" thickBot="1">
      <c r="E80" s="94" t="s">
        <v>32</v>
      </c>
      <c r="F80" s="93">
        <f>SUM(F75:F78)</f>
        <v>9522884.3681165837</v>
      </c>
      <c r="H80" s="94" t="s">
        <v>32</v>
      </c>
      <c r="I80" s="93">
        <f>SUM(I75:I78)</f>
        <v>10020315.800265118</v>
      </c>
      <c r="P80" s="107"/>
      <c r="Q80" s="108"/>
      <c r="R80" s="108"/>
      <c r="S80" s="108"/>
      <c r="T80" s="109"/>
    </row>
    <row r="81" spans="5:20">
      <c r="P81" s="107"/>
      <c r="Q81" s="108"/>
      <c r="R81" s="108"/>
      <c r="S81" s="108"/>
      <c r="T81" s="109"/>
    </row>
    <row r="82" spans="5:20" ht="16.2" thickBot="1">
      <c r="P82" s="107"/>
      <c r="Q82" s="108"/>
      <c r="R82" s="108"/>
      <c r="S82" s="108"/>
      <c r="T82" s="109"/>
    </row>
    <row r="83" spans="5:20" ht="16.2" thickBot="1">
      <c r="H83" s="90" t="s">
        <v>53</v>
      </c>
      <c r="I83" s="63" t="s">
        <v>54</v>
      </c>
      <c r="P83" s="107"/>
      <c r="Q83" s="108"/>
      <c r="R83" s="108"/>
      <c r="S83" s="108"/>
      <c r="T83" s="109"/>
    </row>
    <row r="84" spans="5:20" ht="15.75" customHeight="1">
      <c r="E84" s="114" t="s">
        <v>60</v>
      </c>
      <c r="F84" s="114"/>
      <c r="H84" s="91">
        <f>($Q$64)*(J68-$F$88)*E68</f>
        <v>2332450.7736221855</v>
      </c>
      <c r="I84" s="88">
        <f>H84*F68</f>
        <v>2276322.5306004626</v>
      </c>
      <c r="K84" s="115" t="s">
        <v>64</v>
      </c>
      <c r="L84" s="116"/>
      <c r="M84" s="117"/>
      <c r="P84" s="107"/>
      <c r="Q84" s="108"/>
      <c r="R84" s="108"/>
      <c r="S84" s="108"/>
      <c r="T84" s="109"/>
    </row>
    <row r="85" spans="5:20" ht="16.2" thickBot="1">
      <c r="E85" s="114"/>
      <c r="F85" s="114"/>
      <c r="H85" s="91">
        <f>($Q$64)*(J69-$F$88)*(E69-E68)</f>
        <v>2564684.5909655495</v>
      </c>
      <c r="I85" s="88">
        <f t="shared" ref="I85:I87" si="17">H85*F69</f>
        <v>2437232.7634075563</v>
      </c>
      <c r="K85" s="118"/>
      <c r="L85" s="119"/>
      <c r="M85" s="120"/>
      <c r="P85" s="107"/>
      <c r="Q85" s="108"/>
      <c r="R85" s="108"/>
      <c r="S85" s="108"/>
      <c r="T85" s="109"/>
    </row>
    <row r="86" spans="5:20" ht="16.2" thickBot="1">
      <c r="E86" s="114"/>
      <c r="F86" s="114"/>
      <c r="H86" s="91">
        <f t="shared" ref="H86:H87" si="18">($Q$64)*(J70-$F$88)*(E70-E69)</f>
        <v>2584079.0749769905</v>
      </c>
      <c r="I86" s="88">
        <f t="shared" si="17"/>
        <v>2390719.0710096904</v>
      </c>
      <c r="K86" s="102"/>
      <c r="L86" s="103">
        <f>F88</f>
        <v>2.6117687295142281E-3</v>
      </c>
      <c r="M86" s="100"/>
      <c r="P86" s="107"/>
      <c r="Q86" s="108"/>
      <c r="R86" s="108"/>
      <c r="S86" s="108"/>
      <c r="T86" s="109"/>
    </row>
    <row r="87" spans="5:20" ht="16.2" thickBot="1">
      <c r="H87" s="92">
        <f t="shared" si="18"/>
        <v>2687958.2355058431</v>
      </c>
      <c r="I87" s="89">
        <f t="shared" si="17"/>
        <v>2418610.0030988739</v>
      </c>
      <c r="P87" s="107"/>
      <c r="Q87" s="108"/>
      <c r="R87" s="108"/>
      <c r="S87" s="108"/>
      <c r="T87" s="109"/>
    </row>
    <row r="88" spans="5:20" ht="16.2" thickBot="1">
      <c r="E88" s="94" t="s">
        <v>61</v>
      </c>
      <c r="F88" s="101">
        <v>2.6117687295142281E-3</v>
      </c>
      <c r="H88" s="3"/>
      <c r="I88" s="3"/>
      <c r="P88" s="110"/>
      <c r="Q88" s="111"/>
      <c r="R88" s="111"/>
      <c r="S88" s="111"/>
      <c r="T88" s="112"/>
    </row>
    <row r="89" spans="5:20" ht="16.2" thickBot="1">
      <c r="H89" s="94" t="s">
        <v>32</v>
      </c>
      <c r="I89" s="93">
        <f>SUM(I84:I87)</f>
        <v>9522884.3681165818</v>
      </c>
    </row>
    <row r="90" spans="5:20" ht="16.2" thickBot="1">
      <c r="E90" s="114" t="s">
        <v>63</v>
      </c>
      <c r="F90" s="114"/>
    </row>
    <row r="91" spans="5:20" ht="16.2" thickBot="1">
      <c r="E91" s="114"/>
      <c r="F91" s="114"/>
      <c r="H91" s="94" t="s">
        <v>62</v>
      </c>
      <c r="I91" s="93">
        <f>I89-F80</f>
        <v>0</v>
      </c>
    </row>
    <row r="92" spans="5:20">
      <c r="E92" s="114"/>
      <c r="F92" s="114"/>
    </row>
    <row r="93" spans="5:20">
      <c r="E93" s="4"/>
      <c r="F93" s="4"/>
    </row>
  </sheetData>
  <mergeCells count="50">
    <mergeCell ref="B23:C23"/>
    <mergeCell ref="E25:F25"/>
    <mergeCell ref="E27:F27"/>
    <mergeCell ref="I6:K7"/>
    <mergeCell ref="A1:K1"/>
    <mergeCell ref="A2:K2"/>
    <mergeCell ref="A14:K14"/>
    <mergeCell ref="A15:K15"/>
    <mergeCell ref="E6:F6"/>
    <mergeCell ref="E7:F7"/>
    <mergeCell ref="E8:F8"/>
    <mergeCell ref="E9:F9"/>
    <mergeCell ref="B40:C40"/>
    <mergeCell ref="H25:I25"/>
    <mergeCell ref="H27:I27"/>
    <mergeCell ref="E38:F38"/>
    <mergeCell ref="E40:F40"/>
    <mergeCell ref="H38:I38"/>
    <mergeCell ref="H40:I40"/>
    <mergeCell ref="B25:C25"/>
    <mergeCell ref="B27:C27"/>
    <mergeCell ref="B66:C66"/>
    <mergeCell ref="F67:G67"/>
    <mergeCell ref="F68:G68"/>
    <mergeCell ref="F69:G69"/>
    <mergeCell ref="G53:I54"/>
    <mergeCell ref="A63:K63"/>
    <mergeCell ref="A64:K64"/>
    <mergeCell ref="E90:F92"/>
    <mergeCell ref="K84:M85"/>
    <mergeCell ref="K75:M76"/>
    <mergeCell ref="K77:L77"/>
    <mergeCell ref="F70:G70"/>
    <mergeCell ref="F71:G71"/>
    <mergeCell ref="P74:T88"/>
    <mergeCell ref="M5:Q9"/>
    <mergeCell ref="K26:O33"/>
    <mergeCell ref="K78:M78"/>
    <mergeCell ref="E84:F86"/>
    <mergeCell ref="M47:N47"/>
    <mergeCell ref="P47:Q47"/>
    <mergeCell ref="P45:Q46"/>
    <mergeCell ref="M53:O54"/>
    <mergeCell ref="M55:O55"/>
    <mergeCell ref="Q52:U56"/>
    <mergeCell ref="A45:K45"/>
    <mergeCell ref="A46:K46"/>
    <mergeCell ref="M45:N46"/>
    <mergeCell ref="K20:M21"/>
    <mergeCell ref="B38:C38"/>
  </mergeCells>
  <phoneticPr fontId="4" type="noConversion"/>
  <conditionalFormatting sqref="E25:F25">
    <cfRule type="cellIs" dxfId="5" priority="5" operator="lessThan">
      <formula>$Q$14</formula>
    </cfRule>
    <cfRule type="cellIs" dxfId="4" priority="6" operator="greaterThan">
      <formula>$Q$14</formula>
    </cfRule>
  </conditionalFormatting>
  <conditionalFormatting sqref="E38:F38 H38:I38">
    <cfRule type="cellIs" dxfId="3" priority="1" operator="lessThan">
      <formula>$Q$14</formula>
    </cfRule>
    <cfRule type="cellIs" dxfId="2" priority="2" operator="greaterThan">
      <formula>$Q$14</formula>
    </cfRule>
  </conditionalFormatting>
  <conditionalFormatting sqref="H25:I25">
    <cfRule type="cellIs" dxfId="1" priority="3" operator="lessThan">
      <formula>$Q$14</formula>
    </cfRule>
    <cfRule type="cellIs" dxfId="0" priority="4" operator="greaterThan">
      <formula>$Q$14</formula>
    </cfRule>
  </conditionalFormatting>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Sánchez del Río</dc:creator>
  <cp:lastModifiedBy>Javier Sánchez del Río</cp:lastModifiedBy>
  <dcterms:created xsi:type="dcterms:W3CDTF">2015-06-05T18:17:20Z</dcterms:created>
  <dcterms:modified xsi:type="dcterms:W3CDTF">2026-03-04T15:23:30Z</dcterms:modified>
</cp:coreProperties>
</file>